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1040\EXCELCNV\b6b8d906-0628-4320-928a-78bd99fb09b8\"/>
    </mc:Choice>
  </mc:AlternateContent>
  <xr:revisionPtr revIDLastSave="0" documentId="8_{C28EA81A-9255-4BF3-8804-5285415EFEB7}" xr6:coauthVersionLast="47" xr6:coauthVersionMax="47" xr10:uidLastSave="{00000000-0000-0000-0000-000000000000}"/>
  <bookViews>
    <workbookView xWindow="-60" yWindow="-60" windowWidth="15480" windowHeight="11640" firstSheet="3" activeTab="3" xr2:uid="{07426CD0-43EA-49A6-85AA-62CC60D27337}"/>
  </bookViews>
  <sheets>
    <sheet name="Messages" sheetId="1" r:id="rId1"/>
    <sheet name="Medication Reporting" sheetId="2" r:id="rId2"/>
    <sheet name="Combined Comparison" sheetId="3" r:id="rId3"/>
    <sheet name="finding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J4" i="3"/>
  <c r="K3" i="3"/>
  <c r="J3" i="3"/>
  <c r="K2" i="3"/>
  <c r="J2" i="3"/>
  <c r="I3" i="2"/>
  <c r="I4" i="2"/>
  <c r="I5" i="2"/>
  <c r="I2" i="2"/>
  <c r="H3" i="2"/>
  <c r="H4" i="2"/>
  <c r="H5" i="2"/>
  <c r="H2" i="2"/>
  <c r="I3" i="1"/>
  <c r="I4" i="1"/>
  <c r="I5" i="1"/>
  <c r="I6" i="1"/>
  <c r="H3" i="1"/>
  <c r="H4" i="1"/>
  <c r="H5" i="1"/>
  <c r="H6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Roopa Prasad</author>
  </authors>
  <commentList>
    <comment ref="D26" authorId="0" shapeId="0" xr:uid="{CD288003-4169-4295-BD90-41C48F9358ED}">
      <text>
        <r>
          <rPr>
            <sz val="11"/>
            <color theme="1"/>
            <rFont val="Calibri"/>
            <family val="2"/>
            <scheme val="minor"/>
          </rPr>
          <t>Roopa Prasad:
Success rates use known outcomes only. Denominators, left to right: 64, 53, 78, 39 and 21. Observational comparison; no causal conclusion.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Roopa Prasad</author>
  </authors>
  <commentList>
    <comment ref="D26" authorId="0" shapeId="0" xr:uid="{9FD591D7-819C-4EEB-8714-CEF8BCEF7D92}">
      <text>
        <r>
          <rPr>
            <sz val="11"/>
            <color theme="1"/>
            <rFont val="Calibri"/>
            <family val="2"/>
            <scheme val="minor"/>
          </rPr>
          <t>Roopa Prasad:
Success rates use known outcomes only. Denominators: 90, 42, 102 and 21. Reporting totals reflect self-reported medication use and time in treatment; they are not adherence percentages.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Roopa Prasad</author>
  </authors>
  <commentList>
    <comment ref="F27" authorId="0" shapeId="0" xr:uid="{366E64F6-5814-4B15-8B92-3DDB95EC7E7D}">
      <text>
        <r>
          <rPr>
            <sz val="11"/>
            <color theme="1"/>
            <rFont val="Calibri"/>
            <family val="2"/>
            <scheme val="minor"/>
          </rPr>
          <t>Roopa Prasad:
Success rates use participants with known outcomes. Group sizes for 0–5 / 6+ messages: under 60 reporting days, 64 / 26; 60–119 days, 19 / 23; 120–180 days, 34 / 68. Participants with missing activity data are excluded. These comparisons show association, not causation.</t>
        </r>
      </text>
    </comment>
  </commentList>
</comments>
</file>

<file path=xl/sharedStrings.xml><?xml version="1.0" encoding="utf-8"?>
<sst xmlns="http://schemas.openxmlformats.org/spreadsheetml/2006/main" count="84" uniqueCount="52">
  <si>
    <t>message_group</t>
  </si>
  <si>
    <t>participants</t>
  </si>
  <si>
    <t>known_outcomes</t>
  </si>
  <si>
    <t>unavailable_outcomes</t>
  </si>
  <si>
    <t>successful_treatments</t>
  </si>
  <si>
    <t>success_rate_pct</t>
  </si>
  <si>
    <t>Message Group</t>
  </si>
  <si>
    <t>Treatment Success Rate</t>
  </si>
  <si>
    <t>0 messages</t>
  </si>
  <si>
    <t>84.4</t>
  </si>
  <si>
    <t>1-5 messages</t>
  </si>
  <si>
    <t>79.2</t>
  </si>
  <si>
    <t>6-20 messages</t>
  </si>
  <si>
    <t>85.9</t>
  </si>
  <si>
    <t>21+ messages</t>
  </si>
  <si>
    <t>87.2</t>
  </si>
  <si>
    <t>Missing message data</t>
  </si>
  <si>
    <t>52.4</t>
  </si>
  <si>
    <t>reporting_group</t>
  </si>
  <si>
    <t>Reporting Group</t>
  </si>
  <si>
    <t>Under 60 days</t>
  </si>
  <si>
    <t>71.1</t>
  </si>
  <si>
    <t>60-119 days</t>
  </si>
  <si>
    <t>88.1</t>
  </si>
  <si>
    <t>120-180 days</t>
  </si>
  <si>
    <t>94.1</t>
  </si>
  <si>
    <t>Missing reporting data</t>
  </si>
  <si>
    <t>0-5 messages</t>
  </si>
  <si>
    <t>6+ messages</t>
  </si>
  <si>
    <t>73.4</t>
  </si>
  <si>
    <t>65.4</t>
  </si>
  <si>
    <t>89.5</t>
  </si>
  <si>
    <t>87.0</t>
  </si>
  <si>
    <t>Beyond App Activity: Medication Reporting and Treatment Outcomes</t>
  </si>
  <si>
    <t>Project question</t>
  </si>
  <si>
    <t>How do message activity and medication-reporting days relate to treatment outcomes in a digital treatment-support programme?</t>
  </si>
  <si>
    <t>Dataset</t>
  </si>
  <si>
    <t>277 participants in an international tuberculosis treatment-support dataset. This is not a German patient dataset.</t>
  </si>
  <si>
    <t>Overall treatment success</t>
  </si>
  <si>
    <t>208 of 255 participants with known outcomes had successful treatment: 81.6%. Another 22 participants had no usable success classification.</t>
  </si>
  <si>
    <t>Medication reporting</t>
  </si>
  <si>
    <t>Treatment success was 71.1% for under 60 reporting days, 88.1% for 60–119 days, and 94.1% for 120–180 days, among participants with known outcomes.</t>
  </si>
  <si>
    <t>Message activity</t>
  </si>
  <si>
    <t>Within each medication-reporting group, participants with 6+ messages did not have higher observed success rates than participants with 0–5 messages.</t>
  </si>
  <si>
    <t>Missing data</t>
  </si>
  <si>
    <t>25 participants had both message activity and reporting data missing. Their treatment success rate was 52.4%, compared with 84.2% among participants with activity data available, using known outcomes only.</t>
  </si>
  <si>
    <t>Meaning of unsuccessful outcomes</t>
  </si>
  <si>
    <t>Of 47 outcomes classified as unsuccessful, 44 were recorded as lost to follow-up. These should not all be interpreted as confirmed clinical deterioration.</t>
  </si>
  <si>
    <t>Practical implication</t>
  </si>
  <si>
    <t>Assess message activity alongside medication reporting, treatment outcomes and missing data. Message counts alone give an incomplete picture of patient outcomes.</t>
  </si>
  <si>
    <t>Limitations</t>
  </si>
  <si>
    <t>These results show associations, not causation. Reporting is self-reported, and totals depend on time in treatment. Missing reports do not necessarily mean missed medication. Findings cannot be assumed to apply to German patients.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</si>
</sst>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8" fillId="0" borderId="0" xfId="0" applyFont="1" applyAlignment="1">
      <alignment horizontal="center" wrapText="1"/>
    </xf>
    <xf numFmtId="0" fontId="0" fillId="33" borderId="0" xfId="0" applyFill="1"/>
    <xf numFmtId="164" fontId="0" fillId="33" borderId="0" xfId="0" applyNumberFormat="1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wrapText="1"/>
    </xf>
    <xf numFmtId="0" fontId="0" fillId="35" borderId="0" xfId="0" applyFill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9" fillId="36" borderId="0" xfId="0" applyFont="1" applyFill="1"/>
    <xf numFmtId="0" fontId="0" fillId="36" borderId="0" xfId="0" applyFill="1"/>
    <xf numFmtId="0" fontId="20" fillId="0" borderId="0" xfId="0" applyFont="1" applyAlignment="1">
      <alignment vertical="top"/>
    </xf>
    <xf numFmtId="0" fontId="18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Success by recorded Message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Messages!$I$1</c:f>
              <c:strCache>
                <c:ptCount val="1"/>
                <c:pt idx="0">
                  <c:v>Treatment Success Rate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A6A6A6"/>
              </a:solidFill>
              <a:ln w="12700" cap="flat" cmpd="sng" algn="ctr">
                <a:solidFill>
                  <a:srgbClr val="A6A6A6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C-458D-A274-9D5841514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Messages!$H$2:$H$6</c:f>
              <c:strCache>
                <c:ptCount val="5"/>
                <c:pt idx="0">
                  <c:v>0 messages</c:v>
                </c:pt>
                <c:pt idx="1">
                  <c:v>1-5 messages</c:v>
                </c:pt>
                <c:pt idx="2">
                  <c:v>6-20 messages</c:v>
                </c:pt>
                <c:pt idx="3">
                  <c:v>21+ messages</c:v>
                </c:pt>
                <c:pt idx="4">
                  <c:v>Missing message data</c:v>
                </c:pt>
              </c:strCache>
            </c:strRef>
          </c:cat>
          <c:val>
            <c:numRef>
              <c:f>Messages!$I$2:$I$6</c:f>
              <c:numCache>
                <c:formatCode>0.0%</c:formatCode>
                <c:ptCount val="5"/>
                <c:pt idx="0">
                  <c:v>0.84375</c:v>
                </c:pt>
                <c:pt idx="1">
                  <c:v>0.79245283018867929</c:v>
                </c:pt>
                <c:pt idx="2">
                  <c:v>0.85897435897435892</c:v>
                </c:pt>
                <c:pt idx="3">
                  <c:v>0.87179487179487181</c:v>
                </c:pt>
                <c:pt idx="4">
                  <c:v>0.52380952380952384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C-458D-A274-9D5841514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073544"/>
        <c:axId val="67075592"/>
      </c:barChart>
      <c:catAx>
        <c:axId val="6707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592"/>
        <c:crosses val="autoZero"/>
        <c:auto val="1"/>
        <c:lblAlgn val="ctr"/>
        <c:lblOffset val="100"/>
        <c:noMultiLvlLbl val="0"/>
      </c:catAx>
      <c:valAx>
        <c:axId val="6707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Success by Medication Reporting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833C0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'Medication Reporting'!$I$1</c:f>
              <c:strCache>
                <c:ptCount val="1"/>
                <c:pt idx="0">
                  <c:v>Treatment Success Rate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6C-4822-990D-A4FBDEEC6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'Medication Reporting'!$H$2:$H$5</c:f>
              <c:strCache>
                <c:ptCount val="4"/>
                <c:pt idx="0">
                  <c:v>Under 60 days</c:v>
                </c:pt>
                <c:pt idx="1">
                  <c:v>60-119 days</c:v>
                </c:pt>
                <c:pt idx="2">
                  <c:v>120-180 days</c:v>
                </c:pt>
                <c:pt idx="3">
                  <c:v>Missing reporting data</c:v>
                </c:pt>
              </c:strCache>
            </c:strRef>
          </c:cat>
          <c:val>
            <c:numRef>
              <c:f>'Medication Reporting'!$I$2:$I$5</c:f>
              <c:numCache>
                <c:formatCode>0.0%</c:formatCode>
                <c:ptCount val="4"/>
                <c:pt idx="0">
                  <c:v>0.71111111111111114</c:v>
                </c:pt>
                <c:pt idx="1">
                  <c:v>0.88095238095238093</c:v>
                </c:pt>
                <c:pt idx="2">
                  <c:v>0.94117647058823528</c:v>
                </c:pt>
                <c:pt idx="3">
                  <c:v>0.52380952380952384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C-4822-990D-A4FBDEEC6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4430344"/>
        <c:axId val="964432392"/>
      </c:barChart>
      <c:catAx>
        <c:axId val="96443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32392"/>
        <c:crosses val="autoZero"/>
        <c:auto val="1"/>
        <c:lblAlgn val="ctr"/>
        <c:lblOffset val="100"/>
        <c:noMultiLvlLbl val="0"/>
      </c:catAx>
      <c:valAx>
        <c:axId val="96443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3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success by messaging and medication reporting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833C0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Comparison'!$J$1</c:f>
              <c:strCache>
                <c:ptCount val="1"/>
                <c:pt idx="0">
                  <c:v>0-5 messages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'Combined Comparison'!$I$2:$I$4</c:f>
              <c:strCache>
                <c:ptCount val="3"/>
                <c:pt idx="0">
                  <c:v>Under 60 days</c:v>
                </c:pt>
                <c:pt idx="1">
                  <c:v>60-119 days</c:v>
                </c:pt>
                <c:pt idx="2">
                  <c:v>120-180 days</c:v>
                </c:pt>
              </c:strCache>
            </c:strRef>
          </c:cat>
          <c:val>
            <c:numRef>
              <c:f>'Combined Comparison'!$J$2:$J$4</c:f>
              <c:numCache>
                <c:formatCode>0.0%</c:formatCode>
                <c:ptCount val="3"/>
                <c:pt idx="0">
                  <c:v>0.734375</c:v>
                </c:pt>
                <c:pt idx="1">
                  <c:v>0.89473684210526316</c:v>
                </c:pt>
                <c:pt idx="2">
                  <c:v>0.94117647058823528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C-4264-BDCC-20B536C9830C}"/>
            </c:ext>
          </c:extLst>
        </c:ser>
        <c:ser>
          <c:idx val="1"/>
          <c:order val="1"/>
          <c:tx>
            <c:strRef>
              <c:f>'Combined Comparison'!$K$1</c:f>
              <c:strCache>
                <c:ptCount val="1"/>
                <c:pt idx="0">
                  <c:v>6+ messages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'Combined Comparison'!$I$2:$I$4</c:f>
              <c:strCache>
                <c:ptCount val="3"/>
                <c:pt idx="0">
                  <c:v>Under 60 days</c:v>
                </c:pt>
                <c:pt idx="1">
                  <c:v>60-119 days</c:v>
                </c:pt>
                <c:pt idx="2">
                  <c:v>120-180 days</c:v>
                </c:pt>
              </c:strCache>
            </c:strRef>
          </c:cat>
          <c:val>
            <c:numRef>
              <c:f>'Combined Comparison'!$K$2:$K$4</c:f>
              <c:numCache>
                <c:formatCode>0.0%</c:formatCode>
                <c:ptCount val="3"/>
                <c:pt idx="0">
                  <c:v>0.65384615384615385</c:v>
                </c:pt>
                <c:pt idx="1">
                  <c:v>0.86956521739130432</c:v>
                </c:pt>
                <c:pt idx="2">
                  <c:v>0.94117647058823528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C-4264-BDCC-20B536C9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449224"/>
        <c:axId val="965550600"/>
      </c:barChart>
      <c:catAx>
        <c:axId val="96544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50600"/>
        <c:crosses val="autoZero"/>
        <c:auto val="1"/>
        <c:lblAlgn val="ctr"/>
        <c:lblOffset val="100"/>
        <c:noMultiLvlLbl val="0"/>
      </c:catAx>
      <c:valAx>
        <c:axId val="96555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44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9</xdr:row>
      <xdr:rowOff>142875</xdr:rowOff>
    </xdr:from>
    <xdr:to>
      <xdr:col>7</xdr:col>
      <xdr:colOff>542925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A2F39-4157-B545-D956-E6ADD15E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9</xdr:row>
      <xdr:rowOff>114300</xdr:rowOff>
    </xdr:from>
    <xdr:to>
      <xdr:col>7</xdr:col>
      <xdr:colOff>428625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3337D-F52C-60C2-A66D-954FB21B8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</xdr:row>
      <xdr:rowOff>171450</xdr:rowOff>
    </xdr:from>
    <xdr:to>
      <xdr:col>8</xdr:col>
      <xdr:colOff>447675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22CB2-DE6A-FA48-8E0A-9622B7BF8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C087-59C1-4153-A037-CEC4FB6F8AE2}">
  <dimension ref="A1:I27"/>
  <sheetViews>
    <sheetView workbookViewId="0">
      <selection activeCell="I16" sqref="I16"/>
    </sheetView>
  </sheetViews>
  <sheetFormatPr defaultRowHeight="15"/>
  <cols>
    <col min="1" max="1" width="20.42578125" customWidth="1"/>
    <col min="2" max="2" width="11.42578125" bestFit="1" customWidth="1"/>
    <col min="3" max="3" width="16.85546875" bestFit="1" customWidth="1"/>
    <col min="4" max="4" width="21.140625" bestFit="1" customWidth="1"/>
    <col min="5" max="5" width="21" bestFit="1" customWidth="1"/>
    <col min="6" max="6" width="16.28515625" bestFit="1" customWidth="1"/>
    <col min="8" max="8" width="18.85546875" customWidth="1"/>
    <col min="9" max="9" width="22.5703125" style="1" bestFit="1" customWidth="1"/>
  </cols>
  <sheetData>
    <row r="1" spans="1:9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4" t="s">
        <v>7</v>
      </c>
    </row>
    <row r="2" spans="1:9">
      <c r="A2" t="s">
        <v>8</v>
      </c>
      <c r="B2">
        <v>71</v>
      </c>
      <c r="C2">
        <v>64</v>
      </c>
      <c r="D2">
        <v>7</v>
      </c>
      <c r="E2">
        <v>54</v>
      </c>
      <c r="F2" t="s">
        <v>9</v>
      </c>
      <c r="H2" t="str">
        <f>A2</f>
        <v>0 messages</v>
      </c>
      <c r="I2" s="1">
        <f>E2/C2</f>
        <v>0.84375</v>
      </c>
    </row>
    <row r="3" spans="1:9">
      <c r="A3" t="s">
        <v>10</v>
      </c>
      <c r="B3">
        <v>59</v>
      </c>
      <c r="C3">
        <v>53</v>
      </c>
      <c r="D3">
        <v>6</v>
      </c>
      <c r="E3">
        <v>42</v>
      </c>
      <c r="F3" t="s">
        <v>11</v>
      </c>
      <c r="H3" t="str">
        <f t="shared" ref="H3:H6" si="0">A3</f>
        <v>1-5 messages</v>
      </c>
      <c r="I3" s="1">
        <f t="shared" ref="I3:I6" si="1">E3/C3</f>
        <v>0.79245283018867929</v>
      </c>
    </row>
    <row r="4" spans="1:9">
      <c r="A4" t="s">
        <v>12</v>
      </c>
      <c r="B4">
        <v>80</v>
      </c>
      <c r="C4">
        <v>78</v>
      </c>
      <c r="D4">
        <v>2</v>
      </c>
      <c r="E4">
        <v>67</v>
      </c>
      <c r="F4" t="s">
        <v>13</v>
      </c>
      <c r="H4" t="str">
        <f t="shared" si="0"/>
        <v>6-20 messages</v>
      </c>
      <c r="I4" s="1">
        <f t="shared" si="1"/>
        <v>0.85897435897435892</v>
      </c>
    </row>
    <row r="5" spans="1:9">
      <c r="A5" t="s">
        <v>14</v>
      </c>
      <c r="B5">
        <v>42</v>
      </c>
      <c r="C5">
        <v>39</v>
      </c>
      <c r="D5">
        <v>3</v>
      </c>
      <c r="E5">
        <v>34</v>
      </c>
      <c r="F5" t="s">
        <v>15</v>
      </c>
      <c r="H5" t="str">
        <f t="shared" si="0"/>
        <v>21+ messages</v>
      </c>
      <c r="I5" s="1">
        <f t="shared" si="1"/>
        <v>0.87179487179487181</v>
      </c>
    </row>
    <row r="6" spans="1:9">
      <c r="A6" t="s">
        <v>16</v>
      </c>
      <c r="B6">
        <v>25</v>
      </c>
      <c r="C6">
        <v>21</v>
      </c>
      <c r="D6">
        <v>4</v>
      </c>
      <c r="E6">
        <v>11</v>
      </c>
      <c r="F6" t="s">
        <v>17</v>
      </c>
      <c r="H6" t="str">
        <f t="shared" si="0"/>
        <v>Missing message data</v>
      </c>
      <c r="I6" s="1">
        <f t="shared" si="1"/>
        <v>0.52380952380952384</v>
      </c>
    </row>
    <row r="26" spans="4:4"/>
    <row r="27" spans="4:4" ht="18">
      <c r="D27" s="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DC1E-48EF-4496-A7B4-F3DD1F09E0F6}">
  <dimension ref="A1:I26"/>
  <sheetViews>
    <sheetView workbookViewId="0">
      <selection activeCell="I13" sqref="I13"/>
    </sheetView>
  </sheetViews>
  <sheetFormatPr defaultRowHeight="15"/>
  <cols>
    <col min="1" max="1" width="21.140625" bestFit="1" customWidth="1"/>
    <col min="2" max="2" width="11.42578125" bestFit="1" customWidth="1"/>
    <col min="3" max="3" width="16.85546875" bestFit="1" customWidth="1"/>
    <col min="4" max="4" width="21.140625" bestFit="1" customWidth="1"/>
    <col min="5" max="5" width="21" bestFit="1" customWidth="1"/>
    <col min="6" max="6" width="16.28515625" bestFit="1" customWidth="1"/>
    <col min="8" max="8" width="19.42578125" customWidth="1"/>
    <col min="9" max="9" width="22.42578125" bestFit="1" customWidth="1"/>
  </cols>
  <sheetData>
    <row r="1" spans="1:9" s="5" customFormat="1">
      <c r="A1" s="5" t="s">
        <v>18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5" t="s">
        <v>19</v>
      </c>
      <c r="I1" s="5" t="s">
        <v>7</v>
      </c>
    </row>
    <row r="2" spans="1:9">
      <c r="A2" t="s">
        <v>20</v>
      </c>
      <c r="B2">
        <v>105</v>
      </c>
      <c r="C2">
        <v>90</v>
      </c>
      <c r="D2">
        <v>15</v>
      </c>
      <c r="E2">
        <v>64</v>
      </c>
      <c r="F2" t="s">
        <v>21</v>
      </c>
      <c r="H2" t="str">
        <f>A2</f>
        <v>Under 60 days</v>
      </c>
      <c r="I2" s="1">
        <f>E2/C2</f>
        <v>0.71111111111111114</v>
      </c>
    </row>
    <row r="3" spans="1:9">
      <c r="A3" t="s">
        <v>22</v>
      </c>
      <c r="B3">
        <v>44</v>
      </c>
      <c r="C3">
        <v>42</v>
      </c>
      <c r="D3">
        <v>2</v>
      </c>
      <c r="E3">
        <v>37</v>
      </c>
      <c r="F3" t="s">
        <v>23</v>
      </c>
      <c r="H3" t="str">
        <f t="shared" ref="H3:H5" si="0">A3</f>
        <v>60-119 days</v>
      </c>
      <c r="I3" s="1">
        <f t="shared" ref="I3:I5" si="1">E3/C3</f>
        <v>0.88095238095238093</v>
      </c>
    </row>
    <row r="4" spans="1:9">
      <c r="A4" t="s">
        <v>24</v>
      </c>
      <c r="B4">
        <v>103</v>
      </c>
      <c r="C4">
        <v>102</v>
      </c>
      <c r="D4">
        <v>1</v>
      </c>
      <c r="E4">
        <v>96</v>
      </c>
      <c r="F4" t="s">
        <v>25</v>
      </c>
      <c r="H4" t="str">
        <f t="shared" si="0"/>
        <v>120-180 days</v>
      </c>
      <c r="I4" s="1">
        <f t="shared" si="1"/>
        <v>0.94117647058823528</v>
      </c>
    </row>
    <row r="5" spans="1:9">
      <c r="A5" t="s">
        <v>26</v>
      </c>
      <c r="B5">
        <v>25</v>
      </c>
      <c r="C5">
        <v>21</v>
      </c>
      <c r="D5">
        <v>4</v>
      </c>
      <c r="E5">
        <v>11</v>
      </c>
      <c r="F5" t="s">
        <v>17</v>
      </c>
      <c r="H5" t="str">
        <f t="shared" si="0"/>
        <v>Missing reporting data</v>
      </c>
      <c r="I5" s="1">
        <f t="shared" si="1"/>
        <v>0.52380952380952384</v>
      </c>
    </row>
    <row r="26" spans="4:4"/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6F3C-929A-4794-B821-BC86A2338907}">
  <dimension ref="A1:K27"/>
  <sheetViews>
    <sheetView workbookViewId="0">
      <selection activeCell="K18" sqref="K18"/>
    </sheetView>
  </sheetViews>
  <sheetFormatPr defaultRowHeight="15"/>
  <cols>
    <col min="1" max="1" width="15.7109375" bestFit="1" customWidth="1"/>
    <col min="2" max="2" width="15.28515625" bestFit="1" customWidth="1"/>
    <col min="3" max="3" width="11.42578125" bestFit="1" customWidth="1"/>
    <col min="4" max="4" width="16.85546875" bestFit="1" customWidth="1"/>
    <col min="5" max="5" width="21.140625" bestFit="1" customWidth="1"/>
    <col min="6" max="6" width="21" bestFit="1" customWidth="1"/>
    <col min="7" max="7" width="16.28515625" bestFit="1" customWidth="1"/>
    <col min="9" max="9" width="18.5703125" customWidth="1"/>
    <col min="10" max="10" width="14.85546875" customWidth="1"/>
    <col min="11" max="11" width="20.28515625" customWidth="1"/>
  </cols>
  <sheetData>
    <row r="1" spans="1:11" s="6" customFormat="1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I1" s="6" t="s">
        <v>19</v>
      </c>
      <c r="J1" s="6" t="s">
        <v>27</v>
      </c>
      <c r="K1" s="8" t="s">
        <v>28</v>
      </c>
    </row>
    <row r="2" spans="1:11">
      <c r="A2" t="s">
        <v>20</v>
      </c>
      <c r="B2" t="s">
        <v>27</v>
      </c>
      <c r="C2">
        <v>76</v>
      </c>
      <c r="D2">
        <v>64</v>
      </c>
      <c r="E2">
        <v>12</v>
      </c>
      <c r="F2">
        <v>47</v>
      </c>
      <c r="G2" t="s">
        <v>29</v>
      </c>
      <c r="I2" s="7" t="s">
        <v>20</v>
      </c>
      <c r="J2" s="1">
        <f>F2/D2</f>
        <v>0.734375</v>
      </c>
      <c r="K2" s="1">
        <f>F3/D3</f>
        <v>0.65384615384615385</v>
      </c>
    </row>
    <row r="3" spans="1:11">
      <c r="A3" t="s">
        <v>20</v>
      </c>
      <c r="B3" t="s">
        <v>28</v>
      </c>
      <c r="C3">
        <v>29</v>
      </c>
      <c r="D3">
        <v>26</v>
      </c>
      <c r="E3">
        <v>3</v>
      </c>
      <c r="F3">
        <v>17</v>
      </c>
      <c r="G3" t="s">
        <v>30</v>
      </c>
      <c r="I3" s="7" t="s">
        <v>22</v>
      </c>
      <c r="J3" s="1">
        <f>F4/D4</f>
        <v>0.89473684210526316</v>
      </c>
      <c r="K3" s="1">
        <f>F5/D5</f>
        <v>0.86956521739130432</v>
      </c>
    </row>
    <row r="4" spans="1:11">
      <c r="A4" t="s">
        <v>22</v>
      </c>
      <c r="B4" t="s">
        <v>27</v>
      </c>
      <c r="C4">
        <v>20</v>
      </c>
      <c r="D4">
        <v>19</v>
      </c>
      <c r="E4">
        <v>1</v>
      </c>
      <c r="F4">
        <v>17</v>
      </c>
      <c r="G4" t="s">
        <v>31</v>
      </c>
      <c r="I4" s="7" t="s">
        <v>24</v>
      </c>
      <c r="J4" s="1">
        <f>F6/D6</f>
        <v>0.94117647058823528</v>
      </c>
      <c r="K4" s="1">
        <f>F7/D7</f>
        <v>0.94117647058823528</v>
      </c>
    </row>
    <row r="5" spans="1:11">
      <c r="A5" t="s">
        <v>22</v>
      </c>
      <c r="B5" t="s">
        <v>28</v>
      </c>
      <c r="C5">
        <v>24</v>
      </c>
      <c r="D5">
        <v>23</v>
      </c>
      <c r="E5">
        <v>1</v>
      </c>
      <c r="F5">
        <v>20</v>
      </c>
      <c r="G5" t="s">
        <v>32</v>
      </c>
    </row>
    <row r="6" spans="1:11">
      <c r="A6" t="s">
        <v>24</v>
      </c>
      <c r="B6" t="s">
        <v>27</v>
      </c>
      <c r="C6">
        <v>34</v>
      </c>
      <c r="D6">
        <v>34</v>
      </c>
      <c r="E6">
        <v>0</v>
      </c>
      <c r="F6">
        <v>32</v>
      </c>
      <c r="G6" t="s">
        <v>25</v>
      </c>
    </row>
    <row r="7" spans="1:11">
      <c r="A7" t="s">
        <v>24</v>
      </c>
      <c r="B7" t="s">
        <v>28</v>
      </c>
      <c r="C7">
        <v>69</v>
      </c>
      <c r="D7">
        <v>68</v>
      </c>
      <c r="E7">
        <v>1</v>
      </c>
      <c r="F7">
        <v>64</v>
      </c>
      <c r="G7" t="s">
        <v>25</v>
      </c>
    </row>
    <row r="27" spans="6:6"/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D4F7-6AC0-4AF3-A513-BF43EFFE605F}">
  <dimension ref="A1:B19"/>
  <sheetViews>
    <sheetView tabSelected="1" workbookViewId="0"/>
  </sheetViews>
  <sheetFormatPr defaultRowHeight="15"/>
  <cols>
    <col min="1" max="1" width="41.28515625" customWidth="1"/>
    <col min="2" max="2" width="62.140625" customWidth="1"/>
  </cols>
  <sheetData>
    <row r="1" spans="1:2" s="12" customFormat="1" ht="23.25">
      <c r="A1" s="11" t="s">
        <v>33</v>
      </c>
    </row>
    <row r="3" spans="1:2" ht="54">
      <c r="A3" s="13" t="s">
        <v>34</v>
      </c>
      <c r="B3" s="14" t="s">
        <v>35</v>
      </c>
    </row>
    <row r="5" spans="1:2" ht="54">
      <c r="A5" s="13" t="s">
        <v>36</v>
      </c>
      <c r="B5" s="9" t="s">
        <v>37</v>
      </c>
    </row>
    <row r="7" spans="1:2" ht="54">
      <c r="A7" s="13" t="s">
        <v>38</v>
      </c>
      <c r="B7" s="9" t="s">
        <v>39</v>
      </c>
    </row>
    <row r="9" spans="1:2" ht="54">
      <c r="A9" s="13" t="s">
        <v>40</v>
      </c>
      <c r="B9" s="9" t="s">
        <v>41</v>
      </c>
    </row>
    <row r="11" spans="1:2" ht="54">
      <c r="A11" s="13" t="s">
        <v>42</v>
      </c>
      <c r="B11" s="10" t="s">
        <v>43</v>
      </c>
    </row>
    <row r="13" spans="1:2" ht="72">
      <c r="A13" s="13" t="s">
        <v>44</v>
      </c>
      <c r="B13" s="10" t="s">
        <v>45</v>
      </c>
    </row>
    <row r="15" spans="1:2" ht="54">
      <c r="A15" s="13" t="s">
        <v>46</v>
      </c>
      <c r="B15" s="10" t="s">
        <v>47</v>
      </c>
    </row>
    <row r="17" spans="1:2" ht="54">
      <c r="A17" s="13" t="s">
        <v>48</v>
      </c>
      <c r="B17" s="10" t="s">
        <v>49</v>
      </c>
    </row>
    <row r="19" spans="1:2" ht="90">
      <c r="A19" s="13" t="s">
        <v>50</v>
      </c>
      <c r="B19" s="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2026-10-03T11:12:18Z</dcterms:created>
  <dcterms:modified xsi:type="dcterms:W3CDTF">2026-10-03T12:46:33Z</dcterms:modified>
  <cp:category/>
  <cp:contentStatus/>
</cp:coreProperties>
</file>